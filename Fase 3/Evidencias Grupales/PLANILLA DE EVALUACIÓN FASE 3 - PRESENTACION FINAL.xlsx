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ses\DUOC\CAPSTONE\2025-2\Rúbricas\5V\Fase 3\Equipo 2\"/>
    </mc:Choice>
  </mc:AlternateContent>
  <xr:revisionPtr revIDLastSave="0" documentId="13_ncr:1_{009AC1C7-207F-49EE-B552-4D0203C50C1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H69" i="1"/>
  <c r="I69" i="1" s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H58" i="1"/>
  <c r="I58" i="1" s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D56" i="1"/>
  <c r="E56" i="1" s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J44" i="1"/>
  <c r="K44" i="1" s="1"/>
  <c r="H44" i="1"/>
  <c r="I44" i="1" s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5" i="1" s="1"/>
  <c r="C46" i="1"/>
  <c r="C6" i="1" s="1"/>
  <c r="C72" i="1"/>
  <c r="D5" i="1" s="1"/>
  <c r="C59" i="1"/>
  <c r="D4" i="1" s="1"/>
  <c r="C85" i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<sst xmlns="http://schemas.openxmlformats.org/spreadsheetml/2006/main" count="164" uniqueCount="66">
  <si>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</si>
  <si>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</si>
  <si>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</si>
  <si>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</si>
  <si>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</si>
  <si>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</si>
  <si>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</si>
  <si>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</si>
  <si>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</si>
  <si>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</si>
  <si>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</si>
  <si>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</si>
  <si>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</si>
  <si>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</si>
  <si>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</si>
  <si>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</si>
  <si>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</si>
  <si>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</si>
  <si>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</si>
  <si>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</si>
  <si>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</si>
  <si>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</si>
  <si>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</si>
  <si>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</si>
  <si>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</si>
  <si>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</si>
  <si>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</si>
  <si>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</si>
  <si>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</si>
  <si>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</si>
  <si>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</si>
  <si>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</si>
  <si>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</si>
  <si>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</si>
  <si>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</si>
  <si>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</si>
  <si>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</si>
  <si>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</si>
  <si>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</si>
  <si>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</si>
  <si>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</si>
  <si>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</si>
  <si>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</si>
  <si>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</si>
  <si>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</si>
  <si>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</si>
  <si>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</si>
  <si>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</si>
  <si>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</si>
  <si>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</si>
  <si>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</si>
  <si>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</si>
  <si>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</si>
  <si>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</si>
  <si>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</si>
  <si>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</si>
  <si>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</si>
  <si>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</si>
  <si>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</si>
  <si>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</si>
  <si>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</si>
  <si>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</si>
  <si>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</si>
  <si>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GUERRA FLORES CARLOS</t>
  </si>
  <si>
    <t>MARIN FARIAS DIEGO</t>
  </si>
  <si>
    <t>MORALES PERALTA HECTOR ALEXANDER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</si>
</sst>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B9" sqref="B9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29">
        <v>0.7</v>
      </c>
      <c r="D2" s="32">
        <v>0.3</v>
      </c>
      <c r="E2" s="33">
        <v>1</v>
      </c>
    </row>
    <row r="3" spans="1:11" ht="14.4" x14ac:dyDescent="0.3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" x14ac:dyDescent="0.3">
      <c r="A4" s="3">
        <v>1</v>
      </c>
      <c r="B4" s="16" t="s">
        <v>63</v>
      </c>
      <c r="C4" s="31">
        <f>C21</f>
        <v>6.5</v>
      </c>
      <c r="D4" s="37">
        <f>C60</f>
        <v>6.5</v>
      </c>
      <c r="E4" s="36">
        <f>C4*C$2+D4*D$2</f>
        <v>6.5</v>
      </c>
    </row>
    <row r="5" spans="1:11" ht="14.4" x14ac:dyDescent="0.3">
      <c r="A5" s="3">
        <v>2</v>
      </c>
      <c r="B5" s="16" t="s">
        <v>64</v>
      </c>
      <c r="C5" s="31">
        <f>C34</f>
        <v>6.5</v>
      </c>
      <c r="D5" s="37">
        <f>C73</f>
        <v>6.5</v>
      </c>
      <c r="E5" s="36">
        <f t="shared" ref="E5:E6" si="0">C5*C$2+D5*D$2</f>
        <v>6.5</v>
      </c>
    </row>
    <row r="6" spans="1:11" ht="14.4" x14ac:dyDescent="0.3">
      <c r="A6" s="3">
        <v>3</v>
      </c>
      <c r="B6" s="16" t="s">
        <v>65</v>
      </c>
      <c r="C6" s="31">
        <f>C47</f>
        <v>6.5</v>
      </c>
      <c r="D6" s="37">
        <f>C86</f>
        <v>6.5</v>
      </c>
      <c r="E6" s="36">
        <f t="shared" si="0"/>
        <v>6.5</v>
      </c>
    </row>
    <row r="11" spans="1:11" ht="18" outlineLevel="1" x14ac:dyDescent="0.3">
      <c r="A11" s="39" t="s">
        <v>4</v>
      </c>
      <c r="B11" s="11" t="str">
        <f>B4</f>
        <v>GUERRA FLORES CARLOS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ht="14.4" outlineLevel="1" x14ac:dyDescent="0.3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3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" customHeight="1" outlineLevel="1" x14ac:dyDescent="0.3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3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3">
      <c r="A16" s="41"/>
      <c r="B16" s="19" t="str">
        <f>RUBRICA!A7</f>
        <v>4. Expone el Proyecto APT, considerando el formato y el tiempo establecido para la presentación.</v>
      </c>
      <c r="C16" s="17" t="s">
        <v>9</v>
      </c>
      <c r="D16" s="12" t="str">
        <f t="shared" si="1"/>
        <v/>
      </c>
      <c r="E16" s="12" t="str">
        <f>IF(D16="X",100*0.05,"")</f>
        <v/>
      </c>
      <c r="F16" s="12" t="str">
        <f t="shared" si="2"/>
        <v>X</v>
      </c>
      <c r="G16" s="12">
        <f>IF(F16="X",60*0.05,"")</f>
        <v>3</v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3">
      <c r="A17" s="41"/>
      <c r="B17" s="19" t="str">
        <f>RUBRICA!A8</f>
        <v>5. Expresa sus ideas con fluidez, claridad y precisión, utilizando lenguaje técnico propio de la disciplina.</v>
      </c>
      <c r="C17" s="17" t="s">
        <v>9</v>
      </c>
      <c r="D17" s="12" t="str">
        <f t="shared" si="1"/>
        <v/>
      </c>
      <c r="E17" s="12" t="str">
        <f>IF(D17="X",100*0.05,"")</f>
        <v/>
      </c>
      <c r="F17" s="12" t="str">
        <f t="shared" si="2"/>
        <v>X</v>
      </c>
      <c r="G17" s="12">
        <f>IF(F17="X",60*0.05,"")</f>
        <v>3</v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4" outlineLevel="1" x14ac:dyDescent="0.3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3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9</v>
      </c>
      <c r="D19" s="12" t="str">
        <f>IF($C19=CL,"X","")</f>
        <v/>
      </c>
      <c r="E19" s="12" t="str">
        <f>IF(D19="X",100*0.1,"")</f>
        <v/>
      </c>
      <c r="F19" s="12" t="str">
        <f>IF($C19=L,"X","")</f>
        <v>X</v>
      </c>
      <c r="G19" s="12">
        <f>IF(F19="X",60*0.1,"")</f>
        <v>6</v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5">
      <c r="A20" s="40"/>
      <c r="B20" s="18" t="s">
        <v>12</v>
      </c>
      <c r="C20" s="22">
        <f>E20+G20+I20+K20</f>
        <v>92</v>
      </c>
      <c r="D20" s="13"/>
      <c r="E20" s="13">
        <f>SUM(E13:E19)</f>
        <v>80</v>
      </c>
      <c r="F20" s="13"/>
      <c r="G20" s="13">
        <f>SUM(G13:G19)</f>
        <v>12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5">
      <c r="A21" s="42"/>
      <c r="B21" s="21" t="s">
        <v>13</v>
      </c>
      <c r="C21" s="14">
        <v>6.5</v>
      </c>
    </row>
    <row r="22" spans="1:11" ht="15.75" customHeight="1" x14ac:dyDescent="0.3"/>
    <row r="23" spans="1:11" ht="15.75" customHeight="1" x14ac:dyDescent="0.3"/>
    <row r="24" spans="1:11" ht="24" customHeight="1" x14ac:dyDescent="0.3">
      <c r="A24" s="39" t="s">
        <v>4</v>
      </c>
      <c r="B24" s="11" t="str">
        <f>B5</f>
        <v>MARIN FARIAS DIEGO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3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3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3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3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3">
      <c r="A29" s="41"/>
      <c r="B29" s="19" t="str">
        <f>RUBRICA!A7</f>
        <v>4. Expone el Proyecto APT, considerando el formato y el tiempo establecido para la presentación.</v>
      </c>
      <c r="C29" s="17" t="s">
        <v>9</v>
      </c>
      <c r="D29" s="12" t="str">
        <f t="shared" si="7"/>
        <v/>
      </c>
      <c r="E29" s="12" t="str">
        <f>IF(D29="X",100*0.05,"")</f>
        <v/>
      </c>
      <c r="F29" s="12" t="str">
        <f t="shared" si="8"/>
        <v>X</v>
      </c>
      <c r="G29" s="12">
        <f>IF(F29="X",60*0.05,"")</f>
        <v>3</v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3">
      <c r="A30" s="41"/>
      <c r="B30" s="19" t="str">
        <f>RUBRICA!A8</f>
        <v>5. Expresa sus ideas con fluidez, claridad y precisión, utilizando lenguaje técnico propio de la disciplina.</v>
      </c>
      <c r="C30" s="17" t="s">
        <v>9</v>
      </c>
      <c r="D30" s="12" t="str">
        <f t="shared" si="7"/>
        <v/>
      </c>
      <c r="E30" s="12" t="str">
        <f>IF(D30="X",100*0.05,"")</f>
        <v/>
      </c>
      <c r="F30" s="12" t="str">
        <f t="shared" si="8"/>
        <v>X</v>
      </c>
      <c r="G30" s="12">
        <f>IF(F30="X",60*0.05,"")</f>
        <v>3</v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3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3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9</v>
      </c>
      <c r="D32" s="12" t="str">
        <f>IF($C32=CL,"X","")</f>
        <v/>
      </c>
      <c r="E32" s="12" t="str">
        <f>IF(D32="X",100*0.1,"")</f>
        <v/>
      </c>
      <c r="F32" s="12" t="str">
        <f>IF($C32=L,"X","")</f>
        <v>X</v>
      </c>
      <c r="G32" s="12">
        <f>IF(F32="X",60*0.1,"")</f>
        <v>6</v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5">
      <c r="A33" s="40"/>
      <c r="B33" s="18" t="s">
        <v>12</v>
      </c>
      <c r="C33" s="22">
        <f>E33+G33+I33+K33</f>
        <v>92</v>
      </c>
      <c r="D33" s="13"/>
      <c r="E33" s="13">
        <f>SUM(E26:E32)</f>
        <v>80</v>
      </c>
      <c r="F33" s="13"/>
      <c r="G33" s="13">
        <f>SUM(G26:G32)</f>
        <v>12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5">
      <c r="A34" s="42"/>
      <c r="B34" s="21" t="s">
        <v>13</v>
      </c>
      <c r="C34" s="14">
        <v>6.5</v>
      </c>
    </row>
    <row r="35" spans="1:11" ht="16.2" customHeight="1" x14ac:dyDescent="0.3"/>
    <row r="36" spans="1:11" ht="13.95" customHeight="1" x14ac:dyDescent="0.3"/>
    <row r="37" spans="1:11" ht="24" customHeight="1" x14ac:dyDescent="0.3">
      <c r="A37" s="39" t="s">
        <v>4</v>
      </c>
      <c r="B37" s="11" t="str">
        <f>B6</f>
        <v>MORALES PERALTA HECTOR ALEXANDER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3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3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3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3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3">
      <c r="A42" s="41"/>
      <c r="B42" s="19" t="str">
        <f>RUBRICA!A7</f>
        <v>4. Expone el Proyecto APT, considerando el formato y el tiempo establecido para la presentación.</v>
      </c>
      <c r="C42" s="17" t="s">
        <v>9</v>
      </c>
      <c r="D42" s="12" t="str">
        <f t="shared" si="12"/>
        <v/>
      </c>
      <c r="E42" s="12" t="str">
        <f>IF(D42="X",100*0.05,"")</f>
        <v/>
      </c>
      <c r="F42" s="12" t="str">
        <f t="shared" si="13"/>
        <v>X</v>
      </c>
      <c r="G42" s="12">
        <f>IF(F42="X",60*0.05,"")</f>
        <v>3</v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3">
      <c r="A43" s="41"/>
      <c r="B43" s="19" t="str">
        <f>RUBRICA!A8</f>
        <v>5. Expresa sus ideas con fluidez, claridad y precisión, utilizando lenguaje técnico propio de la disciplina.</v>
      </c>
      <c r="C43" s="17" t="s">
        <v>9</v>
      </c>
      <c r="D43" s="12" t="str">
        <f t="shared" si="12"/>
        <v/>
      </c>
      <c r="E43" s="12" t="str">
        <f>IF(D43="X",100*0.05,"")</f>
        <v/>
      </c>
      <c r="F43" s="12" t="str">
        <f t="shared" si="13"/>
        <v>X</v>
      </c>
      <c r="G43" s="12">
        <f>IF(F43="X",60*0.05,"")</f>
        <v>3</v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3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3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9</v>
      </c>
      <c r="D45" s="12" t="str">
        <f>IF($C45=CL,"X","")</f>
        <v/>
      </c>
      <c r="E45" s="12" t="str">
        <f>IF(D45="X",100*0.1,"")</f>
        <v/>
      </c>
      <c r="F45" s="12" t="str">
        <f>IF($C45=L,"X","")</f>
        <v>X</v>
      </c>
      <c r="G45" s="12">
        <f>IF(F45="X",60*0.1,"")</f>
        <v>6</v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5">
      <c r="A46" s="40"/>
      <c r="B46" s="18" t="s">
        <v>12</v>
      </c>
      <c r="C46" s="22">
        <f>E46+G46+I46+K46</f>
        <v>92</v>
      </c>
      <c r="D46" s="13"/>
      <c r="E46" s="13">
        <f>SUM(E39:E45)</f>
        <v>80</v>
      </c>
      <c r="F46" s="13"/>
      <c r="G46" s="13">
        <f>SUM(G39:G45)</f>
        <v>12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5">
      <c r="A47" s="42"/>
      <c r="B47" s="21" t="s">
        <v>13</v>
      </c>
      <c r="C47" s="14">
        <v>6.5</v>
      </c>
    </row>
    <row r="48" spans="1:11" ht="15.75" customHeight="1" x14ac:dyDescent="0.3"/>
    <row r="49" spans="1:11" ht="15.75" customHeight="1" x14ac:dyDescent="0.3"/>
    <row r="50" spans="1:11" ht="24" customHeight="1" x14ac:dyDescent="0.3">
      <c r="A50" s="48" t="s">
        <v>14</v>
      </c>
      <c r="B50" s="11" t="str">
        <f>B4</f>
        <v>GUERRA FLORES CARLOS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3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3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3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3">
      <c r="A54" s="41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3">
      <c r="A55" s="41"/>
      <c r="B55" s="19" t="str">
        <f>RUBRICA!A7</f>
        <v>4. Expone el Proyecto APT, considerando el formato y el tiempo establecido para la presentación.</v>
      </c>
      <c r="C55" s="17" t="s">
        <v>9</v>
      </c>
      <c r="D55" s="12" t="str">
        <f t="shared" si="17"/>
        <v/>
      </c>
      <c r="E55" s="12" t="str">
        <f>IF(D55="X",100*0.05,"")</f>
        <v/>
      </c>
      <c r="F55" s="12" t="str">
        <f t="shared" si="18"/>
        <v>X</v>
      </c>
      <c r="G55" s="12">
        <f>IF(F55="X",60*0.05,"")</f>
        <v>3</v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3">
      <c r="A56" s="41"/>
      <c r="B56" s="19" t="str">
        <f>RUBRICA!A8</f>
        <v>5. Expresa sus ideas con fluidez, claridad y precisión, utilizando lenguaje técnico propio de la disciplina.</v>
      </c>
      <c r="C56" s="17" t="s">
        <v>9</v>
      </c>
      <c r="D56" s="12" t="str">
        <f t="shared" si="17"/>
        <v/>
      </c>
      <c r="E56" s="12" t="str">
        <f>IF(D56="X",100*0.05,"")</f>
        <v/>
      </c>
      <c r="F56" s="12" t="str">
        <f t="shared" si="18"/>
        <v>X</v>
      </c>
      <c r="G56" s="12">
        <f>IF(F56="X",60*0.05,"")</f>
        <v>3</v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3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3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9</v>
      </c>
      <c r="D58" s="12" t="str">
        <f>IF($C58=CL,"X","")</f>
        <v/>
      </c>
      <c r="E58" s="12" t="str">
        <f>IF(D58="X",100*0.1,"")</f>
        <v/>
      </c>
      <c r="F58" s="12" t="str">
        <f>IF($C58=L,"X","")</f>
        <v>X</v>
      </c>
      <c r="G58" s="12">
        <f>IF(F58="X",60*0.1,"")</f>
        <v>6</v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5">
      <c r="A59" s="40"/>
      <c r="B59" s="18" t="s">
        <v>12</v>
      </c>
      <c r="C59" s="22">
        <f>E59+G59+I59+K59</f>
        <v>92</v>
      </c>
      <c r="D59" s="13"/>
      <c r="E59" s="13">
        <f>SUM(E52:E58)</f>
        <v>80</v>
      </c>
      <c r="F59" s="13"/>
      <c r="G59" s="13">
        <f>SUM(G52:G58)</f>
        <v>12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5">
      <c r="A60" s="42"/>
      <c r="B60" s="21" t="s">
        <v>13</v>
      </c>
      <c r="C60" s="14">
        <v>6.5</v>
      </c>
    </row>
    <row r="61" spans="1:11" ht="15.75" customHeight="1" x14ac:dyDescent="0.3"/>
    <row r="62" spans="1:11" ht="15.75" customHeight="1" x14ac:dyDescent="0.3"/>
    <row r="63" spans="1:11" ht="24" customHeight="1" x14ac:dyDescent="0.3">
      <c r="A63" s="48" t="s">
        <v>15</v>
      </c>
      <c r="B63" s="11" t="str">
        <f>B5</f>
        <v>MARIN FARIAS DIEGO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3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3">
      <c r="A65" s="41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3">
      <c r="A66" s="41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3">
      <c r="A67" s="41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3">
      <c r="A68" s="41"/>
      <c r="B68" s="19" t="str">
        <f>RUBRICA!A7</f>
        <v>4. Expone el Proyecto APT, considerando el formato y el tiempo establecido para la presentación.</v>
      </c>
      <c r="C68" s="17" t="s">
        <v>9</v>
      </c>
      <c r="D68" s="12" t="str">
        <f t="shared" si="22"/>
        <v/>
      </c>
      <c r="E68" s="12" t="str">
        <f>IF(D68="X",100*0.05,"")</f>
        <v/>
      </c>
      <c r="F68" s="12" t="str">
        <f t="shared" si="23"/>
        <v>X</v>
      </c>
      <c r="G68" s="12">
        <f>IF(F68="X",60*0.05,"")</f>
        <v>3</v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3">
      <c r="A69" s="41"/>
      <c r="B69" s="19" t="str">
        <f>RUBRICA!A8</f>
        <v>5. Expresa sus ideas con fluidez, claridad y precisión, utilizando lenguaje técnico propio de la disciplina.</v>
      </c>
      <c r="C69" s="17" t="s">
        <v>9</v>
      </c>
      <c r="D69" s="12" t="str">
        <f t="shared" si="22"/>
        <v/>
      </c>
      <c r="E69" s="12" t="str">
        <f>IF(D69="X",100*0.05,"")</f>
        <v/>
      </c>
      <c r="F69" s="12" t="str">
        <f t="shared" si="23"/>
        <v>X</v>
      </c>
      <c r="G69" s="12">
        <f>IF(F69="X",60*0.05,"")</f>
        <v>3</v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3">
      <c r="A70" s="41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3">
      <c r="A71" s="41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9</v>
      </c>
      <c r="D71" s="12" t="str">
        <f>IF($C71=CL,"X","")</f>
        <v/>
      </c>
      <c r="E71" s="12" t="str">
        <f>IF(D71="X",100*0.1,"")</f>
        <v/>
      </c>
      <c r="F71" s="12" t="str">
        <f>IF($C71=L,"X","")</f>
        <v>X</v>
      </c>
      <c r="G71" s="12">
        <f>IF(F71="X",60*0.1,"")</f>
        <v>6</v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35">
      <c r="A72" s="40"/>
      <c r="B72" s="18" t="s">
        <v>12</v>
      </c>
      <c r="C72" s="22">
        <f>E72+G72+I72+K72</f>
        <v>92</v>
      </c>
      <c r="D72" s="13"/>
      <c r="E72" s="13">
        <f>SUM(E65:E71)</f>
        <v>80</v>
      </c>
      <c r="F72" s="13"/>
      <c r="G72" s="13">
        <f>SUM(G65:G71)</f>
        <v>12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5">
      <c r="A73" s="42"/>
      <c r="B73" s="21" t="s">
        <v>13</v>
      </c>
      <c r="C73" s="14">
        <v>6.5</v>
      </c>
    </row>
    <row r="74" spans="1:11" ht="15.75" customHeight="1" x14ac:dyDescent="0.3"/>
    <row r="75" spans="1:11" ht="15.75" customHeight="1" x14ac:dyDescent="0.3"/>
    <row r="76" spans="1:11" ht="24" customHeight="1" x14ac:dyDescent="0.3">
      <c r="A76" s="48" t="s">
        <v>16</v>
      </c>
      <c r="B76" s="11" t="str">
        <f>B6</f>
        <v>MORALES PERALTA HECTOR ALEXANDER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3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3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3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3">
      <c r="A80" s="41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3">
      <c r="A81" s="41"/>
      <c r="B81" s="19" t="str">
        <f>RUBRICA!A7</f>
        <v>4. Expone el Proyecto APT, considerando el formato y el tiempo establecido para la presentación.</v>
      </c>
      <c r="C81" s="17" t="s">
        <v>9</v>
      </c>
      <c r="D81" s="12" t="str">
        <f t="shared" si="27"/>
        <v/>
      </c>
      <c r="E81" s="12" t="str">
        <f>IF(D81="X",100*0.05,"")</f>
        <v/>
      </c>
      <c r="F81" s="12" t="str">
        <f t="shared" si="28"/>
        <v>X</v>
      </c>
      <c r="G81" s="12">
        <f>IF(F81="X",60*0.05,"")</f>
        <v>3</v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3">
      <c r="A82" s="41"/>
      <c r="B82" s="19" t="str">
        <f>RUBRICA!A8</f>
        <v>5. Expresa sus ideas con fluidez, claridad y precisión, utilizando lenguaje técnico propio de la disciplina.</v>
      </c>
      <c r="C82" s="17" t="s">
        <v>9</v>
      </c>
      <c r="D82" s="12" t="str">
        <f t="shared" si="27"/>
        <v/>
      </c>
      <c r="E82" s="12" t="str">
        <f>IF(D82="X",100*0.05,"")</f>
        <v/>
      </c>
      <c r="F82" s="12" t="str">
        <f t="shared" si="28"/>
        <v>X</v>
      </c>
      <c r="G82" s="12">
        <f>IF(F82="X",60*0.05,"")</f>
        <v>3</v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3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3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9</v>
      </c>
      <c r="D84" s="12" t="str">
        <f>IF($C84=CL,"X","")</f>
        <v/>
      </c>
      <c r="E84" s="12" t="str">
        <f>IF(D84="X",100*0.1,"")</f>
        <v/>
      </c>
      <c r="F84" s="12" t="str">
        <f>IF($C84=L,"X","")</f>
        <v>X</v>
      </c>
      <c r="G84" s="12">
        <f>IF(F84="X",60*0.1,"")</f>
        <v>6</v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5">
      <c r="A85" s="40"/>
      <c r="B85" s="18" t="s">
        <v>12</v>
      </c>
      <c r="C85" s="22">
        <f>E85+G85+I85+K85</f>
        <v>92</v>
      </c>
      <c r="D85" s="13"/>
      <c r="E85" s="13">
        <f>SUM(E78:E84)</f>
        <v>80</v>
      </c>
      <c r="F85" s="13"/>
      <c r="G85" s="13">
        <f>SUM(G78:G84)</f>
        <v>12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5">
      <c r="A86" s="42"/>
      <c r="B86" s="21" t="s">
        <v>13</v>
      </c>
      <c r="C86" s="14">
        <v>6.5</v>
      </c>
    </row>
    <row r="87" spans="1:11" ht="15.75" customHeight="1" x14ac:dyDescent="0.3"/>
    <row r="88" spans="1:11" ht="15.75" customHeight="1" x14ac:dyDescent="0.3"/>
    <row r="89" spans="1:11" ht="15.75" customHeight="1" x14ac:dyDescent="0.3"/>
    <row r="90" spans="1:11" ht="15.75" customHeight="1" x14ac:dyDescent="0.3"/>
    <row r="91" spans="1:11" ht="15.75" customHeight="1" x14ac:dyDescent="0.3"/>
    <row r="92" spans="1:11" ht="15.75" customHeight="1" x14ac:dyDescent="0.3"/>
    <row r="93" spans="1:11" ht="15.75" customHeight="1" x14ac:dyDescent="0.3"/>
    <row r="94" spans="1:11" ht="15.75" customHeight="1" x14ac:dyDescent="0.3"/>
    <row r="95" spans="1:11" ht="15.75" customHeight="1" x14ac:dyDescent="0.3"/>
    <row r="96" spans="1:1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4140625" defaultRowHeight="14.4" x14ac:dyDescent="0.3"/>
  <cols>
    <col min="1" max="1" width="45.5546875" customWidth="1"/>
    <col min="2" max="2" width="31.33203125" customWidth="1"/>
    <col min="3" max="3" width="24.109375" customWidth="1"/>
    <col min="4" max="4" width="29.88671875" customWidth="1"/>
    <col min="5" max="5" width="30.6640625" customWidth="1"/>
    <col min="6" max="6" width="15.33203125" customWidth="1"/>
  </cols>
  <sheetData>
    <row r="1" spans="1:6" ht="15" thickBot="1" x14ac:dyDescent="0.35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3">
      <c r="A2" s="50"/>
      <c r="B2" s="54" t="s">
        <v>20</v>
      </c>
      <c r="C2" s="54" t="s">
        <v>21</v>
      </c>
      <c r="D2" s="25" t="s">
        <v>22</v>
      </c>
      <c r="E2" s="26" t="s">
        <v>11</v>
      </c>
      <c r="F2" s="50"/>
    </row>
    <row r="3" spans="1:6" x14ac:dyDescent="0.3">
      <c r="A3" s="50"/>
      <c r="B3" s="55"/>
      <c r="C3" s="55"/>
      <c r="D3" s="27">
        <v>0.3</v>
      </c>
      <c r="E3" s="27">
        <v>0</v>
      </c>
      <c r="F3" s="50"/>
    </row>
    <row r="4" spans="1:6" ht="110.4" x14ac:dyDescent="0.3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4999999999999" customHeight="1" x14ac:dyDescent="0.3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3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96.6" x14ac:dyDescent="0.3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96.6" x14ac:dyDescent="0.3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96.6" x14ac:dyDescent="0.3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3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</v>
      </c>
    </row>
    <row r="4" spans="1:2" ht="14.4" x14ac:dyDescent="0.3">
      <c r="A4">
        <v>1</v>
      </c>
      <c r="B4">
        <v>1.1000000000000001</v>
      </c>
    </row>
    <row r="5" spans="1:2" ht="14.4" x14ac:dyDescent="0.3">
      <c r="A5">
        <v>1.5</v>
      </c>
      <c r="B5">
        <v>1.1000000000000001</v>
      </c>
    </row>
    <row r="6" spans="1:2" ht="14.4" x14ac:dyDescent="0.3">
      <c r="A6">
        <v>2</v>
      </c>
      <c r="B6">
        <v>1.1000000000000001</v>
      </c>
    </row>
    <row r="7" spans="1:2" ht="14.4" x14ac:dyDescent="0.3">
      <c r="A7">
        <v>2.5</v>
      </c>
      <c r="B7">
        <v>1.1000000000000001</v>
      </c>
    </row>
    <row r="8" spans="1:2" ht="14.4" x14ac:dyDescent="0.3">
      <c r="A8">
        <v>3</v>
      </c>
      <c r="B8">
        <v>1.2</v>
      </c>
    </row>
    <row r="9" spans="1:2" ht="14.4" x14ac:dyDescent="0.3">
      <c r="A9">
        <v>3.5</v>
      </c>
      <c r="B9">
        <v>1.2</v>
      </c>
    </row>
    <row r="10" spans="1:2" ht="14.4" x14ac:dyDescent="0.3">
      <c r="A10">
        <v>4</v>
      </c>
      <c r="B10">
        <v>1.2</v>
      </c>
    </row>
    <row r="11" spans="1:2" ht="14.4" x14ac:dyDescent="0.3">
      <c r="A11">
        <v>4.5</v>
      </c>
      <c r="B11">
        <v>1.2</v>
      </c>
    </row>
    <row r="12" spans="1:2" ht="14.4" x14ac:dyDescent="0.3">
      <c r="A12">
        <v>5</v>
      </c>
      <c r="B12">
        <v>1.3</v>
      </c>
    </row>
    <row r="13" spans="1:2" ht="14.4" x14ac:dyDescent="0.3">
      <c r="A13">
        <v>5.5</v>
      </c>
      <c r="B13">
        <v>1.3</v>
      </c>
    </row>
    <row r="14" spans="1:2" ht="14.4" x14ac:dyDescent="0.3">
      <c r="A14">
        <v>6</v>
      </c>
      <c r="B14">
        <v>1.3</v>
      </c>
    </row>
    <row r="15" spans="1:2" ht="14.4" x14ac:dyDescent="0.3">
      <c r="A15">
        <v>6.5</v>
      </c>
      <c r="B15">
        <v>1.3</v>
      </c>
    </row>
    <row r="16" spans="1:2" ht="14.4" x14ac:dyDescent="0.3">
      <c r="A16">
        <v>7</v>
      </c>
      <c r="B16">
        <v>1.4</v>
      </c>
    </row>
    <row r="17" spans="1:2" ht="14.4" x14ac:dyDescent="0.3">
      <c r="A17">
        <v>7.5</v>
      </c>
      <c r="B17">
        <v>1.4</v>
      </c>
    </row>
    <row r="18" spans="1:2" ht="14.4" x14ac:dyDescent="0.3">
      <c r="A18">
        <v>8</v>
      </c>
      <c r="B18">
        <v>1.4</v>
      </c>
    </row>
    <row r="19" spans="1:2" ht="14.4" x14ac:dyDescent="0.3">
      <c r="A19">
        <v>8.5</v>
      </c>
      <c r="B19">
        <v>1.4</v>
      </c>
    </row>
    <row r="20" spans="1:2" ht="14.4" x14ac:dyDescent="0.3">
      <c r="A20">
        <v>9</v>
      </c>
      <c r="B20">
        <v>1.5</v>
      </c>
    </row>
    <row r="21" spans="1:2" ht="15.75" customHeight="1" x14ac:dyDescent="0.3">
      <c r="A21">
        <v>9.5</v>
      </c>
      <c r="B21">
        <v>1.5</v>
      </c>
    </row>
    <row r="22" spans="1:2" ht="15.75" customHeight="1" x14ac:dyDescent="0.3">
      <c r="A22">
        <v>10</v>
      </c>
      <c r="B22">
        <v>1.5</v>
      </c>
    </row>
    <row r="23" spans="1:2" ht="15.75" customHeight="1" x14ac:dyDescent="0.3">
      <c r="A23">
        <v>10.5</v>
      </c>
      <c r="B23">
        <v>1.5</v>
      </c>
    </row>
    <row r="24" spans="1:2" ht="15.75" customHeight="1" x14ac:dyDescent="0.3">
      <c r="A24">
        <v>11</v>
      </c>
      <c r="B24">
        <v>1.6</v>
      </c>
    </row>
    <row r="25" spans="1:2" ht="15.75" customHeight="1" x14ac:dyDescent="0.3">
      <c r="A25">
        <v>11.5</v>
      </c>
      <c r="B25">
        <v>1.6</v>
      </c>
    </row>
    <row r="26" spans="1:2" ht="15.75" customHeight="1" x14ac:dyDescent="0.3">
      <c r="A26">
        <v>12</v>
      </c>
      <c r="B26">
        <v>1.6</v>
      </c>
    </row>
    <row r="27" spans="1:2" ht="15.75" customHeight="1" x14ac:dyDescent="0.3">
      <c r="A27">
        <v>12.5</v>
      </c>
      <c r="B27">
        <v>1.6</v>
      </c>
    </row>
    <row r="28" spans="1:2" ht="15.75" customHeight="1" x14ac:dyDescent="0.3">
      <c r="A28">
        <v>13</v>
      </c>
      <c r="B28">
        <v>1.7</v>
      </c>
    </row>
    <row r="29" spans="1:2" ht="15.75" customHeight="1" x14ac:dyDescent="0.3">
      <c r="A29">
        <v>13.5</v>
      </c>
      <c r="B29">
        <v>1.7</v>
      </c>
    </row>
    <row r="30" spans="1:2" ht="15.75" customHeight="1" x14ac:dyDescent="0.3">
      <c r="A30">
        <v>14</v>
      </c>
      <c r="B30">
        <v>1.7</v>
      </c>
    </row>
    <row r="31" spans="1:2" ht="15.75" customHeight="1" x14ac:dyDescent="0.3">
      <c r="A31">
        <v>14.5</v>
      </c>
      <c r="B31">
        <v>1.7</v>
      </c>
    </row>
    <row r="32" spans="1:2" ht="15.75" customHeight="1" x14ac:dyDescent="0.3">
      <c r="A32">
        <v>15</v>
      </c>
      <c r="B32">
        <v>1.8</v>
      </c>
    </row>
    <row r="33" spans="1:2" ht="15.75" customHeight="1" x14ac:dyDescent="0.3">
      <c r="A33">
        <v>15.5</v>
      </c>
      <c r="B33">
        <v>1.8</v>
      </c>
    </row>
    <row r="34" spans="1:2" ht="15.75" customHeight="1" x14ac:dyDescent="0.3">
      <c r="A34">
        <v>16</v>
      </c>
      <c r="B34">
        <v>1.8</v>
      </c>
    </row>
    <row r="35" spans="1:2" ht="15.75" customHeight="1" x14ac:dyDescent="0.3">
      <c r="A35">
        <v>16.5</v>
      </c>
      <c r="B35">
        <v>1.8</v>
      </c>
    </row>
    <row r="36" spans="1:2" ht="15.75" customHeight="1" x14ac:dyDescent="0.3">
      <c r="A36">
        <v>17</v>
      </c>
      <c r="B36">
        <v>1.9</v>
      </c>
    </row>
    <row r="37" spans="1:2" ht="15.75" customHeight="1" x14ac:dyDescent="0.3">
      <c r="A37">
        <v>17.5</v>
      </c>
      <c r="B37">
        <v>1.9</v>
      </c>
    </row>
    <row r="38" spans="1:2" ht="15.75" customHeight="1" x14ac:dyDescent="0.3">
      <c r="A38">
        <v>18</v>
      </c>
      <c r="B38">
        <v>1.9</v>
      </c>
    </row>
    <row r="39" spans="1:2" ht="15.75" customHeight="1" x14ac:dyDescent="0.3">
      <c r="A39">
        <v>18.5</v>
      </c>
      <c r="B39">
        <v>1.9</v>
      </c>
    </row>
    <row r="40" spans="1:2" ht="15.75" customHeight="1" x14ac:dyDescent="0.3">
      <c r="A40">
        <v>19</v>
      </c>
      <c r="B40">
        <v>2</v>
      </c>
    </row>
    <row r="41" spans="1:2" ht="15.75" customHeight="1" x14ac:dyDescent="0.3">
      <c r="A41">
        <v>19.5</v>
      </c>
      <c r="B41">
        <v>2</v>
      </c>
    </row>
    <row r="42" spans="1:2" ht="15.75" customHeight="1" x14ac:dyDescent="0.3">
      <c r="A42">
        <v>20</v>
      </c>
      <c r="B42">
        <v>2</v>
      </c>
    </row>
    <row r="43" spans="1:2" ht="15.75" customHeight="1" x14ac:dyDescent="0.3">
      <c r="A43">
        <v>20.5</v>
      </c>
      <c r="B43">
        <v>2</v>
      </c>
    </row>
    <row r="44" spans="1:2" ht="15.75" customHeight="1" x14ac:dyDescent="0.3">
      <c r="A44">
        <v>21</v>
      </c>
      <c r="B44">
        <v>2.1</v>
      </c>
    </row>
    <row r="45" spans="1:2" ht="15.75" customHeight="1" x14ac:dyDescent="0.3">
      <c r="A45">
        <v>21.5</v>
      </c>
      <c r="B45">
        <v>2.1</v>
      </c>
    </row>
    <row r="46" spans="1:2" ht="15.75" customHeight="1" x14ac:dyDescent="0.3">
      <c r="A46">
        <v>22</v>
      </c>
      <c r="B46">
        <v>2.1</v>
      </c>
    </row>
    <row r="47" spans="1:2" ht="15.75" customHeight="1" x14ac:dyDescent="0.3">
      <c r="A47">
        <v>22.5</v>
      </c>
      <c r="B47">
        <v>2.1</v>
      </c>
    </row>
    <row r="48" spans="1:2" ht="15.75" customHeight="1" x14ac:dyDescent="0.3">
      <c r="A48">
        <v>23</v>
      </c>
      <c r="B48">
        <v>2.2000000000000002</v>
      </c>
    </row>
    <row r="49" spans="1:2" ht="15.75" customHeight="1" x14ac:dyDescent="0.3">
      <c r="A49">
        <v>23.5</v>
      </c>
      <c r="B49">
        <v>2.2000000000000002</v>
      </c>
    </row>
    <row r="50" spans="1:2" ht="15.75" customHeight="1" x14ac:dyDescent="0.3">
      <c r="A50">
        <v>24</v>
      </c>
      <c r="B50">
        <v>2.2000000000000002</v>
      </c>
    </row>
    <row r="51" spans="1:2" ht="15.75" customHeight="1" x14ac:dyDescent="0.3">
      <c r="A51">
        <v>24.5</v>
      </c>
      <c r="B51">
        <v>2.2000000000000002</v>
      </c>
    </row>
    <row r="52" spans="1:2" ht="15.75" customHeight="1" x14ac:dyDescent="0.3">
      <c r="A52">
        <v>25</v>
      </c>
      <c r="B52">
        <v>2.2999999999999998</v>
      </c>
    </row>
    <row r="53" spans="1:2" ht="15.75" customHeight="1" x14ac:dyDescent="0.3">
      <c r="A53">
        <v>25.5</v>
      </c>
      <c r="B53">
        <v>2.2999999999999998</v>
      </c>
    </row>
    <row r="54" spans="1:2" ht="15.75" customHeight="1" x14ac:dyDescent="0.3">
      <c r="A54">
        <v>26</v>
      </c>
      <c r="B54">
        <v>2.2999999999999998</v>
      </c>
    </row>
    <row r="55" spans="1:2" ht="15.75" customHeight="1" x14ac:dyDescent="0.3">
      <c r="A55">
        <v>26.5</v>
      </c>
      <c r="B55">
        <v>2.2999999999999998</v>
      </c>
    </row>
    <row r="56" spans="1:2" ht="15.75" customHeight="1" x14ac:dyDescent="0.3">
      <c r="A56">
        <v>27</v>
      </c>
      <c r="B56">
        <v>2.4</v>
      </c>
    </row>
    <row r="57" spans="1:2" ht="15.75" customHeight="1" x14ac:dyDescent="0.3">
      <c r="A57">
        <v>27.5</v>
      </c>
      <c r="B57">
        <v>2.4</v>
      </c>
    </row>
    <row r="58" spans="1:2" ht="15.75" customHeight="1" x14ac:dyDescent="0.3">
      <c r="A58">
        <v>28</v>
      </c>
      <c r="B58">
        <v>2.4</v>
      </c>
    </row>
    <row r="59" spans="1:2" ht="15.75" customHeight="1" x14ac:dyDescent="0.3">
      <c r="A59">
        <v>28.5</v>
      </c>
      <c r="B59">
        <v>2.4</v>
      </c>
    </row>
    <row r="60" spans="1:2" ht="15.75" customHeight="1" x14ac:dyDescent="0.3">
      <c r="A60">
        <v>29</v>
      </c>
      <c r="B60">
        <v>2.5</v>
      </c>
    </row>
    <row r="61" spans="1:2" ht="15.75" customHeight="1" x14ac:dyDescent="0.3">
      <c r="A61">
        <v>29.5</v>
      </c>
      <c r="B61">
        <v>2.5</v>
      </c>
    </row>
    <row r="62" spans="1:2" ht="15.75" customHeight="1" x14ac:dyDescent="0.3">
      <c r="A62">
        <v>30</v>
      </c>
      <c r="B62">
        <v>2.5</v>
      </c>
    </row>
    <row r="63" spans="1:2" ht="15.75" customHeight="1" x14ac:dyDescent="0.3">
      <c r="A63">
        <v>30.5</v>
      </c>
      <c r="B63">
        <v>2.5</v>
      </c>
    </row>
    <row r="64" spans="1:2" ht="15.75" customHeight="1" x14ac:dyDescent="0.3">
      <c r="A64">
        <v>31</v>
      </c>
      <c r="B64">
        <v>2.6</v>
      </c>
    </row>
    <row r="65" spans="1:2" ht="15.75" customHeight="1" x14ac:dyDescent="0.3">
      <c r="A65">
        <v>31.5</v>
      </c>
      <c r="B65">
        <v>2.6</v>
      </c>
    </row>
    <row r="66" spans="1:2" ht="15.75" customHeight="1" x14ac:dyDescent="0.3">
      <c r="A66">
        <v>32</v>
      </c>
      <c r="B66">
        <v>2.6</v>
      </c>
    </row>
    <row r="67" spans="1:2" ht="15.75" customHeight="1" x14ac:dyDescent="0.3">
      <c r="A67">
        <v>32.5</v>
      </c>
      <c r="B67">
        <v>2.6</v>
      </c>
    </row>
    <row r="68" spans="1:2" ht="15.75" customHeight="1" x14ac:dyDescent="0.3">
      <c r="A68">
        <v>33</v>
      </c>
      <c r="B68">
        <v>2.7</v>
      </c>
    </row>
    <row r="69" spans="1:2" ht="15.75" customHeight="1" x14ac:dyDescent="0.3">
      <c r="A69">
        <v>33.5</v>
      </c>
      <c r="B69">
        <v>2.7</v>
      </c>
    </row>
    <row r="70" spans="1:2" ht="15.75" customHeight="1" x14ac:dyDescent="0.3">
      <c r="A70">
        <v>34</v>
      </c>
      <c r="B70">
        <v>2.7</v>
      </c>
    </row>
    <row r="71" spans="1:2" ht="15.75" customHeight="1" x14ac:dyDescent="0.3">
      <c r="A71">
        <v>34.5</v>
      </c>
      <c r="B71">
        <v>2.7</v>
      </c>
    </row>
    <row r="72" spans="1:2" ht="15.75" customHeight="1" x14ac:dyDescent="0.3">
      <c r="A72">
        <v>35</v>
      </c>
      <c r="B72">
        <v>2.8</v>
      </c>
    </row>
    <row r="73" spans="1:2" ht="15.75" customHeight="1" x14ac:dyDescent="0.3">
      <c r="A73">
        <v>35.5</v>
      </c>
      <c r="B73">
        <v>2.8</v>
      </c>
    </row>
    <row r="74" spans="1:2" ht="15.75" customHeight="1" x14ac:dyDescent="0.3">
      <c r="A74">
        <v>36</v>
      </c>
      <c r="B74">
        <v>2.8</v>
      </c>
    </row>
    <row r="75" spans="1:2" ht="15.75" customHeight="1" x14ac:dyDescent="0.3">
      <c r="A75">
        <v>36.5</v>
      </c>
      <c r="B75">
        <v>2.8</v>
      </c>
    </row>
    <row r="76" spans="1:2" ht="15.75" customHeight="1" x14ac:dyDescent="0.3">
      <c r="A76">
        <v>37</v>
      </c>
      <c r="B76">
        <v>2.9</v>
      </c>
    </row>
    <row r="77" spans="1:2" ht="15.75" customHeight="1" x14ac:dyDescent="0.3">
      <c r="A77">
        <v>37.5</v>
      </c>
      <c r="B77">
        <v>2.9</v>
      </c>
    </row>
    <row r="78" spans="1:2" ht="15.75" customHeight="1" x14ac:dyDescent="0.3">
      <c r="A78">
        <v>38</v>
      </c>
      <c r="B78">
        <v>2.9</v>
      </c>
    </row>
    <row r="79" spans="1:2" ht="15.75" customHeight="1" x14ac:dyDescent="0.3">
      <c r="A79">
        <v>38.5</v>
      </c>
      <c r="B79">
        <v>2.9</v>
      </c>
    </row>
    <row r="80" spans="1:2" ht="15.75" customHeight="1" x14ac:dyDescent="0.3">
      <c r="A80">
        <v>39</v>
      </c>
      <c r="B80">
        <v>3</v>
      </c>
    </row>
    <row r="81" spans="1:2" ht="15.75" customHeight="1" x14ac:dyDescent="0.3">
      <c r="A81">
        <v>39.5</v>
      </c>
      <c r="B81">
        <v>3</v>
      </c>
    </row>
    <row r="82" spans="1:2" ht="15.75" customHeight="1" x14ac:dyDescent="0.3">
      <c r="A82">
        <v>40</v>
      </c>
      <c r="B82">
        <v>3</v>
      </c>
    </row>
    <row r="83" spans="1:2" ht="15.75" customHeight="1" x14ac:dyDescent="0.3">
      <c r="A83">
        <v>40.5</v>
      </c>
      <c r="B83">
        <v>3</v>
      </c>
    </row>
    <row r="84" spans="1:2" ht="15.75" customHeight="1" x14ac:dyDescent="0.3">
      <c r="A84">
        <v>41</v>
      </c>
      <c r="B84">
        <v>3.1</v>
      </c>
    </row>
    <row r="85" spans="1:2" ht="15.75" customHeight="1" x14ac:dyDescent="0.3">
      <c r="A85">
        <v>41.5</v>
      </c>
      <c r="B85">
        <v>3.1</v>
      </c>
    </row>
    <row r="86" spans="1:2" ht="15.75" customHeight="1" x14ac:dyDescent="0.3">
      <c r="A86">
        <v>42</v>
      </c>
      <c r="B86">
        <v>3.1</v>
      </c>
    </row>
    <row r="87" spans="1:2" ht="15.75" customHeight="1" x14ac:dyDescent="0.3">
      <c r="A87">
        <v>42.5</v>
      </c>
      <c r="B87">
        <v>3.1</v>
      </c>
    </row>
    <row r="88" spans="1:2" ht="15.75" customHeight="1" x14ac:dyDescent="0.3">
      <c r="A88">
        <v>43</v>
      </c>
      <c r="B88">
        <v>3.2</v>
      </c>
    </row>
    <row r="89" spans="1:2" ht="15.75" customHeight="1" x14ac:dyDescent="0.3">
      <c r="A89">
        <v>43.5</v>
      </c>
      <c r="B89">
        <v>3.2</v>
      </c>
    </row>
    <row r="90" spans="1:2" ht="15.75" customHeight="1" x14ac:dyDescent="0.3">
      <c r="A90">
        <v>44</v>
      </c>
      <c r="B90">
        <v>3.2</v>
      </c>
    </row>
    <row r="91" spans="1:2" ht="15.75" customHeight="1" x14ac:dyDescent="0.3">
      <c r="A91">
        <v>44.5</v>
      </c>
      <c r="B91">
        <v>3.2</v>
      </c>
    </row>
    <row r="92" spans="1:2" ht="15.75" customHeight="1" x14ac:dyDescent="0.3">
      <c r="A92">
        <v>45</v>
      </c>
      <c r="B92">
        <v>3.3</v>
      </c>
    </row>
    <row r="93" spans="1:2" ht="15.75" customHeight="1" x14ac:dyDescent="0.3">
      <c r="A93">
        <v>45.5</v>
      </c>
      <c r="B93">
        <v>3.3</v>
      </c>
    </row>
    <row r="94" spans="1:2" ht="15.75" customHeight="1" x14ac:dyDescent="0.3">
      <c r="A94">
        <v>46</v>
      </c>
      <c r="B94">
        <v>3.3</v>
      </c>
    </row>
    <row r="95" spans="1:2" ht="15.75" customHeight="1" x14ac:dyDescent="0.3">
      <c r="A95">
        <v>46.5</v>
      </c>
      <c r="B95">
        <v>3.3</v>
      </c>
    </row>
    <row r="96" spans="1:2" ht="15.75" customHeight="1" x14ac:dyDescent="0.3">
      <c r="A96">
        <v>47</v>
      </c>
      <c r="B96">
        <v>3.4</v>
      </c>
    </row>
    <row r="97" spans="1:2" ht="15.75" customHeight="1" x14ac:dyDescent="0.3">
      <c r="A97">
        <v>47.5</v>
      </c>
      <c r="B97">
        <v>3.4</v>
      </c>
    </row>
    <row r="98" spans="1:2" ht="15.75" customHeight="1" x14ac:dyDescent="0.3">
      <c r="A98">
        <v>48</v>
      </c>
      <c r="B98">
        <v>3.4</v>
      </c>
    </row>
    <row r="99" spans="1:2" ht="15.75" customHeight="1" x14ac:dyDescent="0.3">
      <c r="A99">
        <v>48.5</v>
      </c>
      <c r="B99">
        <v>3.4</v>
      </c>
    </row>
    <row r="100" spans="1:2" ht="15.75" customHeight="1" x14ac:dyDescent="0.3">
      <c r="A100">
        <v>49</v>
      </c>
      <c r="B100">
        <v>3.5</v>
      </c>
    </row>
    <row r="101" spans="1:2" ht="15.75" customHeight="1" x14ac:dyDescent="0.3">
      <c r="A101">
        <v>49.5</v>
      </c>
      <c r="B101">
        <v>3.5</v>
      </c>
    </row>
    <row r="102" spans="1:2" ht="15.75" customHeight="1" x14ac:dyDescent="0.3">
      <c r="A102">
        <v>50</v>
      </c>
      <c r="B102">
        <v>3.5</v>
      </c>
    </row>
    <row r="103" spans="1:2" ht="15.75" customHeight="1" x14ac:dyDescent="0.3">
      <c r="A103">
        <v>50.5</v>
      </c>
      <c r="B103">
        <v>3.5</v>
      </c>
    </row>
    <row r="104" spans="1:2" ht="15.75" customHeight="1" x14ac:dyDescent="0.3">
      <c r="A104">
        <v>51</v>
      </c>
      <c r="B104">
        <v>3.6</v>
      </c>
    </row>
    <row r="105" spans="1:2" ht="15.75" customHeight="1" x14ac:dyDescent="0.3">
      <c r="A105">
        <v>51.5</v>
      </c>
      <c r="B105">
        <v>3.6</v>
      </c>
    </row>
    <row r="106" spans="1:2" ht="15.75" customHeight="1" x14ac:dyDescent="0.3">
      <c r="A106">
        <v>52</v>
      </c>
      <c r="B106">
        <v>3.6</v>
      </c>
    </row>
    <row r="107" spans="1:2" ht="15.75" customHeight="1" x14ac:dyDescent="0.3">
      <c r="A107">
        <v>52.5</v>
      </c>
      <c r="B107">
        <v>3.6</v>
      </c>
    </row>
    <row r="108" spans="1:2" ht="15.75" customHeight="1" x14ac:dyDescent="0.3">
      <c r="A108">
        <v>53</v>
      </c>
      <c r="B108">
        <v>3.7</v>
      </c>
    </row>
    <row r="109" spans="1:2" ht="15.75" customHeight="1" x14ac:dyDescent="0.3">
      <c r="A109">
        <v>53.5</v>
      </c>
      <c r="B109">
        <v>3.7</v>
      </c>
    </row>
    <row r="110" spans="1:2" ht="15.75" customHeight="1" x14ac:dyDescent="0.3">
      <c r="A110">
        <v>54</v>
      </c>
      <c r="B110">
        <v>3.7</v>
      </c>
    </row>
    <row r="111" spans="1:2" ht="15.75" customHeight="1" x14ac:dyDescent="0.3">
      <c r="A111">
        <v>54.5</v>
      </c>
      <c r="B111">
        <v>3.7</v>
      </c>
    </row>
    <row r="112" spans="1:2" ht="15.75" customHeight="1" x14ac:dyDescent="0.3">
      <c r="A112">
        <v>55</v>
      </c>
      <c r="B112">
        <v>3.8</v>
      </c>
    </row>
    <row r="113" spans="1:2" ht="15.75" customHeight="1" x14ac:dyDescent="0.3">
      <c r="A113">
        <v>55.5</v>
      </c>
      <c r="B113">
        <v>3.8</v>
      </c>
    </row>
    <row r="114" spans="1:2" ht="15.75" customHeight="1" x14ac:dyDescent="0.3">
      <c r="A114">
        <v>56</v>
      </c>
      <c r="B114">
        <v>3.8</v>
      </c>
    </row>
    <row r="115" spans="1:2" ht="15.75" customHeight="1" x14ac:dyDescent="0.3">
      <c r="A115">
        <v>56.5</v>
      </c>
      <c r="B115">
        <v>3.8</v>
      </c>
    </row>
    <row r="116" spans="1:2" ht="15.75" customHeight="1" x14ac:dyDescent="0.3">
      <c r="A116">
        <v>57</v>
      </c>
      <c r="B116">
        <v>3.9</v>
      </c>
    </row>
    <row r="117" spans="1:2" ht="15.75" customHeight="1" x14ac:dyDescent="0.3">
      <c r="A117">
        <v>57.5</v>
      </c>
      <c r="B117">
        <v>3.9</v>
      </c>
    </row>
    <row r="118" spans="1:2" ht="15.75" customHeight="1" x14ac:dyDescent="0.3">
      <c r="A118">
        <v>58</v>
      </c>
      <c r="B118">
        <v>3.9</v>
      </c>
    </row>
    <row r="119" spans="1:2" ht="15.75" customHeight="1" x14ac:dyDescent="0.3">
      <c r="A119">
        <v>58.5</v>
      </c>
      <c r="B119">
        <v>3.9</v>
      </c>
    </row>
    <row r="120" spans="1:2" ht="15.75" customHeight="1" x14ac:dyDescent="0.3">
      <c r="A120">
        <v>59</v>
      </c>
      <c r="B120">
        <v>4</v>
      </c>
    </row>
    <row r="121" spans="1:2" ht="15.75" customHeight="1" x14ac:dyDescent="0.3">
      <c r="A121">
        <v>59.5</v>
      </c>
      <c r="B121">
        <v>4</v>
      </c>
    </row>
    <row r="122" spans="1:2" ht="15.75" customHeight="1" x14ac:dyDescent="0.3">
      <c r="A122">
        <v>60</v>
      </c>
      <c r="B122">
        <v>4</v>
      </c>
    </row>
    <row r="123" spans="1:2" ht="15.75" customHeight="1" x14ac:dyDescent="0.3">
      <c r="A123">
        <v>60.5</v>
      </c>
      <c r="B123">
        <v>4</v>
      </c>
    </row>
    <row r="124" spans="1:2" ht="15.75" customHeight="1" x14ac:dyDescent="0.3">
      <c r="A124">
        <v>61</v>
      </c>
      <c r="B124">
        <v>4.0999999999999996</v>
      </c>
    </row>
    <row r="125" spans="1:2" ht="15.75" customHeight="1" x14ac:dyDescent="0.3">
      <c r="A125">
        <v>61.5</v>
      </c>
      <c r="B125">
        <v>4.0999999999999996</v>
      </c>
    </row>
    <row r="126" spans="1:2" ht="15.75" customHeight="1" x14ac:dyDescent="0.3">
      <c r="A126">
        <v>62</v>
      </c>
      <c r="B126">
        <v>4.2</v>
      </c>
    </row>
    <row r="127" spans="1:2" ht="15.75" customHeight="1" x14ac:dyDescent="0.3">
      <c r="A127">
        <v>62.5</v>
      </c>
      <c r="B127">
        <v>4.2</v>
      </c>
    </row>
    <row r="128" spans="1:2" ht="15.75" customHeight="1" x14ac:dyDescent="0.3">
      <c r="A128">
        <v>63</v>
      </c>
      <c r="B128">
        <v>4.2</v>
      </c>
    </row>
    <row r="129" spans="1:2" ht="15.75" customHeight="1" x14ac:dyDescent="0.3">
      <c r="A129">
        <v>63.5</v>
      </c>
      <c r="B129">
        <v>4.3</v>
      </c>
    </row>
    <row r="130" spans="1:2" ht="15.75" customHeight="1" x14ac:dyDescent="0.3">
      <c r="A130">
        <v>64</v>
      </c>
      <c r="B130">
        <v>4.3</v>
      </c>
    </row>
    <row r="131" spans="1:2" ht="15.75" customHeight="1" x14ac:dyDescent="0.3">
      <c r="A131">
        <v>64.5</v>
      </c>
      <c r="B131">
        <v>4.3</v>
      </c>
    </row>
    <row r="132" spans="1:2" ht="15.75" customHeight="1" x14ac:dyDescent="0.3">
      <c r="A132">
        <v>65</v>
      </c>
      <c r="B132">
        <v>4.4000000000000004</v>
      </c>
    </row>
    <row r="133" spans="1:2" ht="15.75" customHeight="1" x14ac:dyDescent="0.3">
      <c r="A133">
        <v>65.5</v>
      </c>
      <c r="B133">
        <v>4.4000000000000004</v>
      </c>
    </row>
    <row r="134" spans="1:2" ht="15.75" customHeight="1" x14ac:dyDescent="0.3">
      <c r="A134">
        <v>66</v>
      </c>
      <c r="B134">
        <v>4.5</v>
      </c>
    </row>
    <row r="135" spans="1:2" ht="15.75" customHeight="1" x14ac:dyDescent="0.3">
      <c r="A135">
        <v>66.5</v>
      </c>
      <c r="B135">
        <v>4.5</v>
      </c>
    </row>
    <row r="136" spans="1:2" ht="15.75" customHeight="1" x14ac:dyDescent="0.3">
      <c r="A136">
        <v>67</v>
      </c>
      <c r="B136">
        <v>4.5</v>
      </c>
    </row>
    <row r="137" spans="1:2" ht="15.75" customHeight="1" x14ac:dyDescent="0.3">
      <c r="A137">
        <v>67.5</v>
      </c>
      <c r="B137">
        <v>4.5999999999999996</v>
      </c>
    </row>
    <row r="138" spans="1:2" ht="15.75" customHeight="1" x14ac:dyDescent="0.3">
      <c r="A138">
        <v>68</v>
      </c>
      <c r="B138">
        <v>4.5999999999999996</v>
      </c>
    </row>
    <row r="139" spans="1:2" ht="15.75" customHeight="1" x14ac:dyDescent="0.3">
      <c r="A139">
        <v>68.5</v>
      </c>
      <c r="B139">
        <v>4.5999999999999996</v>
      </c>
    </row>
    <row r="140" spans="1:2" ht="15.75" customHeight="1" x14ac:dyDescent="0.3">
      <c r="A140">
        <v>69</v>
      </c>
      <c r="B140">
        <v>4.7</v>
      </c>
    </row>
    <row r="141" spans="1:2" ht="15.75" customHeight="1" x14ac:dyDescent="0.3">
      <c r="A141">
        <v>69.5</v>
      </c>
      <c r="B141">
        <v>4.7</v>
      </c>
    </row>
    <row r="142" spans="1:2" ht="15.75" customHeight="1" x14ac:dyDescent="0.3">
      <c r="A142">
        <v>70</v>
      </c>
      <c r="B142">
        <v>4.8</v>
      </c>
    </row>
    <row r="143" spans="1:2" ht="15.75" customHeight="1" x14ac:dyDescent="0.3">
      <c r="A143">
        <v>70.5</v>
      </c>
      <c r="B143">
        <v>4.8</v>
      </c>
    </row>
    <row r="144" spans="1:2" ht="15.75" customHeight="1" x14ac:dyDescent="0.3">
      <c r="A144">
        <v>71</v>
      </c>
      <c r="B144">
        <v>4.8</v>
      </c>
    </row>
    <row r="145" spans="1:2" ht="15.75" customHeight="1" x14ac:dyDescent="0.3">
      <c r="A145">
        <v>71.5</v>
      </c>
      <c r="B145">
        <v>4.9000000000000004</v>
      </c>
    </row>
    <row r="146" spans="1:2" ht="15.75" customHeight="1" x14ac:dyDescent="0.3">
      <c r="A146">
        <v>72</v>
      </c>
      <c r="B146">
        <v>4.9000000000000004</v>
      </c>
    </row>
    <row r="147" spans="1:2" ht="15.75" customHeight="1" x14ac:dyDescent="0.3">
      <c r="A147">
        <v>72.5</v>
      </c>
      <c r="B147">
        <v>4.9000000000000004</v>
      </c>
    </row>
    <row r="148" spans="1:2" ht="15.75" customHeight="1" x14ac:dyDescent="0.3">
      <c r="A148">
        <v>73</v>
      </c>
      <c r="B148">
        <v>5</v>
      </c>
    </row>
    <row r="149" spans="1:2" ht="15.75" customHeight="1" x14ac:dyDescent="0.3">
      <c r="A149">
        <v>73.5</v>
      </c>
      <c r="B149">
        <v>5</v>
      </c>
    </row>
    <row r="150" spans="1:2" ht="15.75" customHeight="1" x14ac:dyDescent="0.3">
      <c r="A150">
        <v>74</v>
      </c>
      <c r="B150">
        <v>5.0999999999999996</v>
      </c>
    </row>
    <row r="151" spans="1:2" ht="15.75" customHeight="1" x14ac:dyDescent="0.3">
      <c r="A151">
        <v>74.5</v>
      </c>
      <c r="B151">
        <v>5.0999999999999996</v>
      </c>
    </row>
    <row r="152" spans="1:2" ht="15.75" customHeight="1" x14ac:dyDescent="0.3">
      <c r="A152">
        <v>75</v>
      </c>
      <c r="B152">
        <v>5.0999999999999996</v>
      </c>
    </row>
    <row r="153" spans="1:2" ht="15.75" customHeight="1" x14ac:dyDescent="0.3">
      <c r="A153">
        <v>75.5</v>
      </c>
      <c r="B153">
        <v>5.2</v>
      </c>
    </row>
    <row r="154" spans="1:2" ht="15.75" customHeight="1" x14ac:dyDescent="0.3">
      <c r="A154">
        <v>76</v>
      </c>
      <c r="B154">
        <v>5.2</v>
      </c>
    </row>
    <row r="155" spans="1:2" ht="15.75" customHeight="1" x14ac:dyDescent="0.3">
      <c r="A155">
        <v>76.5</v>
      </c>
      <c r="B155">
        <v>5.2</v>
      </c>
    </row>
    <row r="156" spans="1:2" ht="15.75" customHeight="1" x14ac:dyDescent="0.3">
      <c r="A156">
        <v>77</v>
      </c>
      <c r="B156">
        <v>5.3</v>
      </c>
    </row>
    <row r="157" spans="1:2" ht="15.75" customHeight="1" x14ac:dyDescent="0.3">
      <c r="A157">
        <v>77.5</v>
      </c>
      <c r="B157">
        <v>5.3</v>
      </c>
    </row>
    <row r="158" spans="1:2" ht="15.75" customHeight="1" x14ac:dyDescent="0.3">
      <c r="A158">
        <v>78</v>
      </c>
      <c r="B158">
        <v>5.4</v>
      </c>
    </row>
    <row r="159" spans="1:2" ht="15.75" customHeight="1" x14ac:dyDescent="0.3">
      <c r="A159">
        <v>78.5</v>
      </c>
      <c r="B159">
        <v>5.4</v>
      </c>
    </row>
    <row r="160" spans="1:2" ht="15.75" customHeight="1" x14ac:dyDescent="0.3">
      <c r="A160">
        <v>79</v>
      </c>
      <c r="B160">
        <v>5.4</v>
      </c>
    </row>
    <row r="161" spans="1:2" ht="15.75" customHeight="1" x14ac:dyDescent="0.3">
      <c r="A161">
        <v>79.5</v>
      </c>
      <c r="B161">
        <v>5.5</v>
      </c>
    </row>
    <row r="162" spans="1:2" ht="15.75" customHeight="1" x14ac:dyDescent="0.3">
      <c r="A162">
        <v>80</v>
      </c>
      <c r="B162">
        <v>5.5</v>
      </c>
    </row>
    <row r="163" spans="1:2" ht="15.75" customHeight="1" x14ac:dyDescent="0.3">
      <c r="A163">
        <v>80.5</v>
      </c>
      <c r="B163">
        <v>5.5</v>
      </c>
    </row>
    <row r="164" spans="1:2" ht="15.75" customHeight="1" x14ac:dyDescent="0.3">
      <c r="A164">
        <v>81</v>
      </c>
      <c r="B164">
        <v>5.6</v>
      </c>
    </row>
    <row r="165" spans="1:2" ht="15.75" customHeight="1" x14ac:dyDescent="0.3">
      <c r="A165">
        <v>81.5</v>
      </c>
      <c r="B165">
        <v>5.6</v>
      </c>
    </row>
    <row r="166" spans="1:2" ht="15.75" customHeight="1" x14ac:dyDescent="0.3">
      <c r="A166">
        <v>82</v>
      </c>
      <c r="B166">
        <v>5.7</v>
      </c>
    </row>
    <row r="167" spans="1:2" ht="15.75" customHeight="1" x14ac:dyDescent="0.3">
      <c r="A167">
        <v>82.5</v>
      </c>
      <c r="B167">
        <v>5.7</v>
      </c>
    </row>
    <row r="168" spans="1:2" ht="15.75" customHeight="1" x14ac:dyDescent="0.3">
      <c r="A168">
        <v>83</v>
      </c>
      <c r="B168">
        <v>5.7</v>
      </c>
    </row>
    <row r="169" spans="1:2" ht="15.75" customHeight="1" x14ac:dyDescent="0.3">
      <c r="A169">
        <v>83.5</v>
      </c>
      <c r="B169">
        <v>5.8</v>
      </c>
    </row>
    <row r="170" spans="1:2" ht="15.75" customHeight="1" x14ac:dyDescent="0.3">
      <c r="A170">
        <v>84</v>
      </c>
      <c r="B170">
        <v>5.8</v>
      </c>
    </row>
    <row r="171" spans="1:2" ht="15.75" customHeight="1" x14ac:dyDescent="0.3">
      <c r="A171">
        <v>84.5</v>
      </c>
      <c r="B171">
        <v>5.8</v>
      </c>
    </row>
    <row r="172" spans="1:2" ht="15.75" customHeight="1" x14ac:dyDescent="0.3">
      <c r="A172">
        <v>85</v>
      </c>
      <c r="B172">
        <v>5.9</v>
      </c>
    </row>
    <row r="173" spans="1:2" ht="15.75" customHeight="1" x14ac:dyDescent="0.3">
      <c r="A173">
        <v>85.5</v>
      </c>
      <c r="B173">
        <v>5.9</v>
      </c>
    </row>
    <row r="174" spans="1:2" ht="15.75" customHeight="1" x14ac:dyDescent="0.3">
      <c r="A174">
        <v>86</v>
      </c>
      <c r="B174">
        <v>6</v>
      </c>
    </row>
    <row r="175" spans="1:2" ht="15.75" customHeight="1" x14ac:dyDescent="0.3">
      <c r="A175">
        <v>86.5</v>
      </c>
      <c r="B175">
        <v>6</v>
      </c>
    </row>
    <row r="176" spans="1:2" ht="15.75" customHeight="1" x14ac:dyDescent="0.3">
      <c r="A176">
        <v>87</v>
      </c>
      <c r="B176">
        <v>6</v>
      </c>
    </row>
    <row r="177" spans="1:2" ht="15.75" customHeight="1" x14ac:dyDescent="0.3">
      <c r="A177">
        <v>87.5</v>
      </c>
      <c r="B177">
        <v>6.1</v>
      </c>
    </row>
    <row r="178" spans="1:2" ht="15.75" customHeight="1" x14ac:dyDescent="0.3">
      <c r="A178">
        <v>88</v>
      </c>
      <c r="B178">
        <v>6.1</v>
      </c>
    </row>
    <row r="179" spans="1:2" ht="15.75" customHeight="1" x14ac:dyDescent="0.3">
      <c r="A179">
        <v>88.5</v>
      </c>
      <c r="B179">
        <v>6.1</v>
      </c>
    </row>
    <row r="180" spans="1:2" ht="15.75" customHeight="1" x14ac:dyDescent="0.3">
      <c r="A180">
        <v>89</v>
      </c>
      <c r="B180">
        <v>6.2</v>
      </c>
    </row>
    <row r="181" spans="1:2" ht="15.75" customHeight="1" x14ac:dyDescent="0.3">
      <c r="A181">
        <v>89.5</v>
      </c>
      <c r="B181">
        <v>6.2</v>
      </c>
    </row>
    <row r="182" spans="1:2" ht="15.75" customHeight="1" x14ac:dyDescent="0.3">
      <c r="A182">
        <v>90</v>
      </c>
      <c r="B182">
        <v>6.3</v>
      </c>
    </row>
    <row r="183" spans="1:2" ht="15.75" customHeight="1" x14ac:dyDescent="0.3">
      <c r="A183">
        <v>90.5</v>
      </c>
      <c r="B183">
        <v>6.3</v>
      </c>
    </row>
    <row r="184" spans="1:2" ht="15.75" customHeight="1" x14ac:dyDescent="0.3">
      <c r="A184">
        <v>91</v>
      </c>
      <c r="B184">
        <v>6.3</v>
      </c>
    </row>
    <row r="185" spans="1:2" ht="15.75" customHeight="1" x14ac:dyDescent="0.3">
      <c r="A185">
        <v>91.5</v>
      </c>
      <c r="B185">
        <v>6.4</v>
      </c>
    </row>
    <row r="186" spans="1:2" ht="15.75" customHeight="1" x14ac:dyDescent="0.3">
      <c r="A186">
        <v>92</v>
      </c>
      <c r="B186">
        <v>6.4</v>
      </c>
    </row>
    <row r="187" spans="1:2" ht="15.75" customHeight="1" x14ac:dyDescent="0.3">
      <c r="A187">
        <v>92.5</v>
      </c>
      <c r="B187">
        <v>6.4</v>
      </c>
    </row>
    <row r="188" spans="1:2" ht="15.75" customHeight="1" x14ac:dyDescent="0.3">
      <c r="A188">
        <v>93</v>
      </c>
      <c r="B188">
        <v>6.5</v>
      </c>
    </row>
    <row r="189" spans="1:2" ht="15.75" customHeight="1" x14ac:dyDescent="0.3">
      <c r="A189">
        <v>93.5</v>
      </c>
      <c r="B189">
        <v>6.5</v>
      </c>
    </row>
    <row r="190" spans="1:2" ht="15.75" customHeight="1" x14ac:dyDescent="0.3">
      <c r="A190">
        <v>94</v>
      </c>
      <c r="B190">
        <v>6.6</v>
      </c>
    </row>
    <row r="191" spans="1:2" ht="15.75" customHeight="1" x14ac:dyDescent="0.3">
      <c r="A191">
        <v>94.5</v>
      </c>
      <c r="B191">
        <v>6.6</v>
      </c>
    </row>
    <row r="192" spans="1:2" ht="15.75" customHeight="1" x14ac:dyDescent="0.3">
      <c r="A192">
        <v>95</v>
      </c>
      <c r="B192">
        <v>6.6</v>
      </c>
    </row>
    <row r="193" spans="1:2" ht="15.75" customHeight="1" x14ac:dyDescent="0.3">
      <c r="A193">
        <v>95.5</v>
      </c>
      <c r="B193">
        <v>6.7</v>
      </c>
    </row>
    <row r="194" spans="1:2" ht="15.75" customHeight="1" x14ac:dyDescent="0.3">
      <c r="A194">
        <v>96</v>
      </c>
      <c r="B194">
        <v>6.7</v>
      </c>
    </row>
    <row r="195" spans="1:2" ht="15.75" customHeight="1" x14ac:dyDescent="0.3">
      <c r="A195">
        <v>96.5</v>
      </c>
      <c r="B195">
        <v>6.7</v>
      </c>
    </row>
    <row r="196" spans="1:2" ht="15.75" customHeight="1" x14ac:dyDescent="0.3">
      <c r="A196">
        <v>97</v>
      </c>
      <c r="B196">
        <v>6.8</v>
      </c>
    </row>
    <row r="197" spans="1:2" ht="15.75" customHeight="1" x14ac:dyDescent="0.3">
      <c r="A197">
        <v>97.5</v>
      </c>
      <c r="B197">
        <v>6.8</v>
      </c>
    </row>
    <row r="198" spans="1:2" ht="15.75" customHeight="1" x14ac:dyDescent="0.3">
      <c r="A198">
        <v>98</v>
      </c>
      <c r="B198">
        <v>6.9</v>
      </c>
    </row>
    <row r="199" spans="1:2" ht="15.75" customHeight="1" x14ac:dyDescent="0.3">
      <c r="A199">
        <v>98.5</v>
      </c>
      <c r="B199">
        <v>6.9</v>
      </c>
    </row>
    <row r="200" spans="1:2" ht="15.75" customHeight="1" x14ac:dyDescent="0.3">
      <c r="A200">
        <v>99</v>
      </c>
      <c r="B200">
        <v>6.9</v>
      </c>
    </row>
    <row r="201" spans="1:2" ht="15.75" customHeight="1" x14ac:dyDescent="0.3">
      <c r="A201">
        <v>99.5</v>
      </c>
      <c r="B201">
        <v>7</v>
      </c>
    </row>
    <row r="202" spans="1:2" ht="15.75" customHeight="1" x14ac:dyDescent="0.3">
      <c r="A202">
        <v>100</v>
      </c>
      <c r="B202">
        <v>7</v>
      </c>
    </row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58</v>
      </c>
      <c r="B1" t="s">
        <v>59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1.3</v>
      </c>
    </row>
    <row r="5" spans="1:2" ht="14.4" x14ac:dyDescent="0.3">
      <c r="A5">
        <v>1.5</v>
      </c>
      <c r="B5">
        <v>1.4</v>
      </c>
    </row>
    <row r="6" spans="1:2" ht="14.4" x14ac:dyDescent="0.3">
      <c r="A6">
        <v>2</v>
      </c>
      <c r="B6">
        <v>1.5</v>
      </c>
    </row>
    <row r="7" spans="1:2" ht="14.4" x14ac:dyDescent="0.3">
      <c r="A7">
        <v>2.5</v>
      </c>
      <c r="B7">
        <v>1.6</v>
      </c>
    </row>
    <row r="8" spans="1:2" ht="14.4" x14ac:dyDescent="0.3">
      <c r="A8">
        <v>3</v>
      </c>
      <c r="B8">
        <v>1.8</v>
      </c>
    </row>
    <row r="9" spans="1:2" ht="14.4" x14ac:dyDescent="0.3">
      <c r="A9">
        <v>3.5</v>
      </c>
      <c r="B9">
        <v>1.9</v>
      </c>
    </row>
    <row r="10" spans="1:2" ht="14.4" x14ac:dyDescent="0.3">
      <c r="A10">
        <v>4</v>
      </c>
      <c r="B10">
        <v>2</v>
      </c>
    </row>
    <row r="11" spans="1:2" ht="14.4" x14ac:dyDescent="0.3">
      <c r="A11">
        <v>4.5</v>
      </c>
      <c r="B11">
        <v>2.1</v>
      </c>
    </row>
    <row r="12" spans="1:2" ht="14.4" x14ac:dyDescent="0.3">
      <c r="A12">
        <v>5</v>
      </c>
      <c r="B12">
        <v>2.2999999999999998</v>
      </c>
    </row>
    <row r="13" spans="1:2" ht="14.4" x14ac:dyDescent="0.3">
      <c r="A13">
        <v>5.5</v>
      </c>
      <c r="B13">
        <v>2.4</v>
      </c>
    </row>
    <row r="14" spans="1:2" ht="14.4" x14ac:dyDescent="0.3">
      <c r="A14">
        <v>6</v>
      </c>
      <c r="B14">
        <v>2.5</v>
      </c>
    </row>
    <row r="15" spans="1:2" ht="14.4" x14ac:dyDescent="0.3">
      <c r="A15">
        <v>6.5</v>
      </c>
      <c r="B15">
        <v>2.6</v>
      </c>
    </row>
    <row r="16" spans="1:2" ht="14.4" x14ac:dyDescent="0.3">
      <c r="A16">
        <v>7</v>
      </c>
      <c r="B16">
        <v>2.8</v>
      </c>
    </row>
    <row r="17" spans="1:2" ht="14.4" x14ac:dyDescent="0.3">
      <c r="A17">
        <v>7.5</v>
      </c>
      <c r="B17">
        <v>2.9</v>
      </c>
    </row>
    <row r="18" spans="1:2" ht="14.4" x14ac:dyDescent="0.3">
      <c r="A18">
        <v>8</v>
      </c>
      <c r="B18">
        <v>3</v>
      </c>
    </row>
    <row r="19" spans="1:2" ht="14.4" x14ac:dyDescent="0.3">
      <c r="A19">
        <v>8.5</v>
      </c>
      <c r="B19">
        <v>3.1</v>
      </c>
    </row>
    <row r="20" spans="1:2" ht="14.4" x14ac:dyDescent="0.3">
      <c r="A20">
        <v>9</v>
      </c>
      <c r="B20">
        <v>3.3</v>
      </c>
    </row>
    <row r="21" spans="1:2" ht="15.75" customHeight="1" x14ac:dyDescent="0.3">
      <c r="A21">
        <v>9.5</v>
      </c>
      <c r="B21">
        <v>3.4</v>
      </c>
    </row>
    <row r="22" spans="1:2" ht="15.75" customHeight="1" x14ac:dyDescent="0.3">
      <c r="A22">
        <v>10</v>
      </c>
      <c r="B22">
        <v>3.5</v>
      </c>
    </row>
    <row r="23" spans="1:2" ht="15.75" customHeight="1" x14ac:dyDescent="0.3">
      <c r="A23">
        <v>10.5</v>
      </c>
      <c r="B23">
        <v>3.6</v>
      </c>
    </row>
    <row r="24" spans="1:2" ht="15.75" customHeight="1" x14ac:dyDescent="0.3">
      <c r="A24">
        <v>11</v>
      </c>
      <c r="B24">
        <v>3.8</v>
      </c>
    </row>
    <row r="25" spans="1:2" ht="15.75" customHeight="1" x14ac:dyDescent="0.3">
      <c r="A25">
        <v>11.5</v>
      </c>
      <c r="B25">
        <v>3.9</v>
      </c>
    </row>
    <row r="26" spans="1:2" ht="15.75" customHeight="1" x14ac:dyDescent="0.3">
      <c r="A26">
        <v>12</v>
      </c>
      <c r="B26">
        <v>4</v>
      </c>
    </row>
    <row r="27" spans="1:2" ht="15.75" customHeight="1" x14ac:dyDescent="0.3">
      <c r="A27">
        <v>12.5</v>
      </c>
      <c r="B27">
        <v>4.2</v>
      </c>
    </row>
    <row r="28" spans="1:2" ht="15.75" customHeight="1" x14ac:dyDescent="0.3">
      <c r="A28">
        <v>13</v>
      </c>
      <c r="B28">
        <v>4.4000000000000004</v>
      </c>
    </row>
    <row r="29" spans="1:2" ht="15.75" customHeight="1" x14ac:dyDescent="0.3">
      <c r="A29">
        <v>13.5</v>
      </c>
      <c r="B29">
        <v>4.5999999999999996</v>
      </c>
    </row>
    <row r="30" spans="1:2" ht="15.75" customHeight="1" x14ac:dyDescent="0.3">
      <c r="A30">
        <v>14</v>
      </c>
      <c r="B30">
        <v>4.8</v>
      </c>
    </row>
    <row r="31" spans="1:2" ht="15.75" customHeight="1" x14ac:dyDescent="0.3">
      <c r="A31">
        <v>14.5</v>
      </c>
      <c r="B31">
        <v>4.9000000000000004</v>
      </c>
    </row>
    <row r="32" spans="1:2" ht="15.75" customHeight="1" x14ac:dyDescent="0.3">
      <c r="A32">
        <v>15</v>
      </c>
      <c r="B32">
        <v>5.0999999999999996</v>
      </c>
    </row>
    <row r="33" spans="1:2" ht="15.75" customHeight="1" x14ac:dyDescent="0.3">
      <c r="A33">
        <v>15.5</v>
      </c>
      <c r="B33">
        <v>5.3</v>
      </c>
    </row>
    <row r="34" spans="1:2" ht="15.75" customHeight="1" x14ac:dyDescent="0.3">
      <c r="A34">
        <v>16</v>
      </c>
      <c r="B34">
        <v>5.5</v>
      </c>
    </row>
    <row r="35" spans="1:2" ht="15.75" customHeight="1" x14ac:dyDescent="0.3">
      <c r="A35">
        <v>16.5</v>
      </c>
      <c r="B35">
        <v>5.7</v>
      </c>
    </row>
    <row r="36" spans="1:2" ht="15.75" customHeight="1" x14ac:dyDescent="0.3">
      <c r="A36">
        <v>17</v>
      </c>
      <c r="B36">
        <v>5.9</v>
      </c>
    </row>
    <row r="37" spans="1:2" ht="15.75" customHeight="1" x14ac:dyDescent="0.3">
      <c r="A37">
        <v>17.5</v>
      </c>
      <c r="B37">
        <v>6.1</v>
      </c>
    </row>
    <row r="38" spans="1:2" ht="15.75" customHeight="1" x14ac:dyDescent="0.3">
      <c r="A38">
        <v>18</v>
      </c>
      <c r="B38">
        <v>6.3</v>
      </c>
    </row>
    <row r="39" spans="1:2" ht="15.75" customHeight="1" x14ac:dyDescent="0.3">
      <c r="A39">
        <v>18.5</v>
      </c>
      <c r="B39">
        <v>6.4</v>
      </c>
    </row>
    <row r="40" spans="1:2" ht="15.75" customHeight="1" x14ac:dyDescent="0.3">
      <c r="A40">
        <v>19</v>
      </c>
      <c r="B40">
        <v>6.6</v>
      </c>
    </row>
    <row r="41" spans="1:2" ht="15.75" customHeight="1" x14ac:dyDescent="0.3">
      <c r="A41">
        <v>19.5</v>
      </c>
      <c r="B41">
        <v>6.8</v>
      </c>
    </row>
    <row r="42" spans="1:2" ht="15.75" customHeight="1" x14ac:dyDescent="0.3">
      <c r="A42">
        <v>20</v>
      </c>
      <c r="B42">
        <v>7</v>
      </c>
    </row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spans="2:2" ht="15.75" customHeight="1" x14ac:dyDescent="0.3"/>
    <row r="50" spans="2:2" ht="15.75" customHeight="1" x14ac:dyDescent="0.3"/>
    <row r="51" spans="2:2" ht="15.75" customHeight="1" x14ac:dyDescent="0.3"/>
    <row r="52" spans="2:2" ht="15.75" customHeight="1" x14ac:dyDescent="0.3"/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56" t="s">
        <v>60</v>
      </c>
      <c r="B1" s="4" t="s">
        <v>12</v>
      </c>
      <c r="C1" s="5"/>
      <c r="D1" s="5"/>
      <c r="E1" s="6"/>
    </row>
    <row r="2" spans="1:5" ht="43.8" thickBot="1" x14ac:dyDescent="0.35">
      <c r="A2" s="57"/>
      <c r="B2" s="7" t="s">
        <v>8</v>
      </c>
      <c r="C2" s="8" t="s">
        <v>9</v>
      </c>
      <c r="D2" s="20" t="s">
        <v>61</v>
      </c>
      <c r="E2" s="38" t="s">
        <v>11</v>
      </c>
    </row>
    <row r="3" spans="1:5" ht="29.4" thickBot="1" x14ac:dyDescent="0.3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thickBot="1" x14ac:dyDescent="0.35">
      <c r="A4" s="9"/>
      <c r="B4" s="10"/>
      <c r="C4" s="10"/>
      <c r="D4" s="10"/>
      <c r="E4" s="10"/>
    </row>
    <row r="5" spans="1:5" thickBot="1" x14ac:dyDescent="0.35">
      <c r="A5" s="9"/>
      <c r="B5" s="10"/>
      <c r="C5" s="10"/>
      <c r="D5" s="10"/>
      <c r="E5" s="1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LUIS ALBERTO BRAVO YANES</cp:lastModifiedBy>
  <cp:revision/>
  <dcterms:created xsi:type="dcterms:W3CDTF">2023-08-07T04:08:01Z</dcterms:created>
  <dcterms:modified xsi:type="dcterms:W3CDTF">2025-12-09T00:52:58Z</dcterms:modified>
  <cp:category/>
  <cp:contentStatus/>
</cp:coreProperties>
</file>